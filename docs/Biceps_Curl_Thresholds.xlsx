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D:\Study\project\Spotter_CV-main\app\docs\"/>
    </mc:Choice>
  </mc:AlternateContent>
  <xr:revisionPtr revIDLastSave="0" documentId="11_B8E992009E17C0B539F5FB36E2F553AD33B805F5" xr6:coauthVersionLast="47" xr6:coauthVersionMax="47" xr10:uidLastSave="{00000000-0000-0000-0000-000000000000}"/>
  <bookViews>
    <workbookView xWindow="768" yWindow="768" windowWidth="17280" windowHeight="8880" xr2:uid="{00000000-000D-0000-FFFF-FFFF00000000}"/>
  </bookViews>
  <sheets>
    <sheet name="Landmarks" sheetId="1" r:id="rId1"/>
    <sheet name="Rep Counting" sheetId="2" r:id="rId2"/>
    <sheet name="Form Checks" sheetId="3" r:id="rId3"/>
    <sheet name="Front View" sheetId="4" r:id="rId4"/>
    <sheet name="Legend"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3" l="1"/>
  <c r="F6" i="3"/>
  <c r="F5" i="3"/>
  <c r="C11" i="2"/>
  <c r="E11" i="2" s="1"/>
  <c r="C8" i="2"/>
  <c r="E8" i="2" s="1"/>
  <c r="E6" i="2"/>
  <c r="E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Spotter</author>
  </authors>
  <commentList>
    <comment ref="C5" authorId="0" shapeId="0" xr:uid="{00000000-0006-0000-0100-000001000000}">
      <text>
        <r>
          <rPr>
            <sz val="11"/>
            <color theme="1"/>
            <rFont val="Calibri"/>
            <family val="2"/>
            <scheme val="minor"/>
          </rPr>
          <t>Change this in exercise_local_data_source.dart (upAngle).</t>
        </r>
      </text>
    </comment>
    <comment ref="C6" authorId="0" shapeId="0" xr:uid="{00000000-0006-0000-0100-000002000000}">
      <text>
        <r>
          <rPr>
            <sz val="11"/>
            <color theme="1"/>
            <rFont val="Calibri"/>
            <family val="2"/>
            <scheme val="minor"/>
          </rPr>
          <t>Change this in exercise_local_data_source.dart (downAngle).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Spotter</author>
  </authors>
  <commentList>
    <comment ref="D9" authorId="0" shapeId="0" xr:uid="{00000000-0006-0000-0200-000001000000}">
      <text>
        <r>
          <rPr>
            <sz val="11"/>
            <color theme="1"/>
            <rFont val="Calibri"/>
            <family val="2"/>
            <scheme val="minor"/>
          </rPr>
          <t>maxSpeed = 400 deg/s for the curl (exercise_local_data_source.dart); the warning fires at 1.3 x that.</t>
        </r>
      </text>
    </comment>
  </commentList>
</comments>
</file>

<file path=xl/sharedStrings.xml><?xml version="1.0" encoding="utf-8"?>
<sst xmlns="http://schemas.openxmlformats.org/spreadsheetml/2006/main" count="178" uniqueCount="152">
  <si>
    <t>Biceps Curl - Landmarks</t>
  </si>
  <si>
    <t>ML Kit / MediaPipe pose landmark ids used by the curl</t>
  </si>
  <si>
    <t>Body part</t>
  </si>
  <si>
    <t>Right side id</t>
  </si>
  <si>
    <t>Left side id</t>
  </si>
  <si>
    <t>Used for</t>
  </si>
  <si>
    <t>Where in the code</t>
  </si>
  <si>
    <t>Shoulder</t>
  </si>
  <si>
    <t>Elbow angle, upper arm hangs down, elbow drift, shrug</t>
  </si>
  <si>
    <t>exercise_local_data_source.dart:23, rep_counter.dart:158</t>
  </si>
  <si>
    <t>Elbow</t>
  </si>
  <si>
    <t>Elbow angle (the measured joint)</t>
  </si>
  <si>
    <t>Wrist</t>
  </si>
  <si>
    <t>Elbow angle; wrist height when facing the camera</t>
  </si>
  <si>
    <t>exercise_local_data_source.dart:23, rep_counter.dart:495</t>
  </si>
  <si>
    <t>Hip</t>
  </si>
  <si>
    <t>Elbow drift, swinging, shrugging</t>
  </si>
  <si>
    <t>rep_counter.dart:561</t>
  </si>
  <si>
    <t>Other shoulder</t>
  </si>
  <si>
    <t>Torso twist; front / side view detection</t>
  </si>
  <si>
    <t>rep_counter.dart:561, rep_counter.dart:354</t>
  </si>
  <si>
    <t>Arm modes</t>
  </si>
  <si>
    <t>Mode</t>
  </si>
  <si>
    <t>Meaning</t>
  </si>
  <si>
    <t>Right arm</t>
  </si>
  <si>
    <t>Left arm</t>
  </si>
  <si>
    <t>Both arms together (the straighter arm decides)</t>
  </si>
  <si>
    <t>Alternate, right arm first</t>
  </si>
  <si>
    <t>Alternate, left arm first</t>
  </si>
  <si>
    <t>Biceps Curl - Rep Counting</t>
  </si>
  <si>
    <t>Measured value = inside elbow angle (180 = straight arm). Flexion = 180 - angle. Blue = value in the code, black = formula.</t>
  </si>
  <si>
    <t>Threshold</t>
  </si>
  <si>
    <t>Code name</t>
  </si>
  <si>
    <t>Value</t>
  </si>
  <si>
    <t>Unit</t>
  </si>
  <si>
    <t>Elbow flexion (deg)</t>
  </si>
  <si>
    <t>Bottom of the rep (0 %)</t>
  </si>
  <si>
    <t>upAngle</t>
  </si>
  <si>
    <t>deg</t>
  </si>
  <si>
    <t>NEW (was 160). The rep ends when the arm is back here: ~30 deg flexion, slight bend, weight beside the front of the thigh.</t>
  </si>
  <si>
    <t>exercise_local_data_source.dart:23</t>
  </si>
  <si>
    <t>Top of the rep (100 %)</t>
  </si>
  <si>
    <t>downAngle</t>
  </si>
  <si>
    <t>Curled up: 130 deg flexion (Pinto et al. 2012) minus 14 deg pose-estimation elbow error (Francia et al. 2024).</t>
  </si>
  <si>
    <t>Rep starts above</t>
  </si>
  <si>
    <t>per &gt; 15</t>
  </si>
  <si>
    <t>%</t>
  </si>
  <si>
    <t>The rep starts once the bar passes this percentage (elbow angle in column E row 8).</t>
  </si>
  <si>
    <t>rep_counter.dart:1314</t>
  </si>
  <si>
    <t>Elbow angle where the rep starts</t>
  </si>
  <si>
    <t>(derived)</t>
  </si>
  <si>
    <t>Calculated from the 0 % / 100 % angles and the start percentage.</t>
  </si>
  <si>
    <t>-</t>
  </si>
  <si>
    <t>Hold at the top</t>
  </si>
  <si>
    <t>holdSeconds</t>
  </si>
  <si>
    <t>s</t>
  </si>
  <si>
    <t>Must stay at 100 % this long, so a one-frame spike does not count.</t>
  </si>
  <si>
    <t>rep_counter.dart:31</t>
  </si>
  <si>
    <t>Incomplete rep from</t>
  </si>
  <si>
    <t>attemptPer</t>
  </si>
  <si>
    <t>Went at least this far, came back without reaching the top: 'Incomplete rep - Curl through full range'.</t>
  </si>
  <si>
    <t>rep_counter.dart:36</t>
  </si>
  <si>
    <t>Elbow angle for 'incomplete'</t>
  </si>
  <si>
    <t>Calculated from the 0 % / 100 % angles and attemptPer.</t>
  </si>
  <si>
    <t>Fastest real rep</t>
  </si>
  <si>
    <t>minRepSeconds</t>
  </si>
  <si>
    <t>Faster than this is jitter, not a rep.</t>
  </si>
  <si>
    <t>rep_counter.dart:32</t>
  </si>
  <si>
    <t>Stale half-rep</t>
  </si>
  <si>
    <t>maxRepSeconds</t>
  </si>
  <si>
    <t>A started rep is forgotten after this long.</t>
  </si>
  <si>
    <t>rep_counter.dart:33</t>
  </si>
  <si>
    <t>Upper arm must hang down</t>
  </si>
  <si>
    <t>armDown</t>
  </si>
  <si>
    <t>deg from vertical</t>
  </si>
  <si>
    <t>Elbow below the shoulder and the upper arm at most this far from vertical, otherwise 'Keep your upper arm down' and no rep.</t>
  </si>
  <si>
    <t>rep_counter.dart:1206</t>
  </si>
  <si>
    <t>Get-in-position time</t>
  </si>
  <si>
    <t>setupSeconds</t>
  </si>
  <si>
    <t>No reps are counted in the first seconds after the body is seen.</t>
  </si>
  <si>
    <t>rep_counter.dart:41</t>
  </si>
  <si>
    <t>Landmark dropout tolerated</t>
  </si>
  <si>
    <t>lostGrace</t>
  </si>
  <si>
    <t>Short tracking losses are ridden out.</t>
  </si>
  <si>
    <t>rep_counter.dart:34</t>
  </si>
  <si>
    <t>Glitch filter</t>
  </si>
  <si>
    <t>maxJumpDeg</t>
  </si>
  <si>
    <t>deg / frame</t>
  </si>
  <si>
    <t>A bigger jump in one frame is treated as a tracking glitch.</t>
  </si>
  <si>
    <t>rep_counter.dart:35</t>
  </si>
  <si>
    <t>Smoothing (keep old)</t>
  </si>
  <si>
    <t>pythonFps / 0.7</t>
  </si>
  <si>
    <t>factor</t>
  </si>
  <si>
    <t>0.7 old + 0.3 new per 1/15 s, time based so it behaves the same at any frame rate.</t>
  </si>
  <si>
    <t>rep_counter.dart:223</t>
  </si>
  <si>
    <t>Biceps Curl - Form Checks</t>
  </si>
  <si>
    <t>Checked on every active arm, every frame. 'Reject at' = warning limit + reject margin (formula).</t>
  </si>
  <si>
    <t>Check (message shown)</t>
  </si>
  <si>
    <t>What is measured</t>
  </si>
  <si>
    <t>Limit key</t>
  </si>
  <si>
    <t>Warn above</t>
  </si>
  <si>
    <t>Reject margin</t>
  </si>
  <si>
    <t>Rejects rep above</t>
  </si>
  <si>
    <t>Elbow drifting forward</t>
  </si>
  <si>
    <t>Angle hip - shoulder - elbow</t>
  </si>
  <si>
    <t>elbowDrift</t>
  </si>
  <si>
    <t>rep_counter.dart:569</t>
  </si>
  <si>
    <t>Swinging - stay still</t>
  </si>
  <si>
    <t>Torso lean compared with your own start posture</t>
  </si>
  <si>
    <t>swing</t>
  </si>
  <si>
    <t>rep_counter.dart:575</t>
  </si>
  <si>
    <t>Shoulders shrugging</t>
  </si>
  <si>
    <t>Hip - shoulder length compared with the start</t>
  </si>
  <si>
    <t>shrug</t>
  </si>
  <si>
    <t>warn only</t>
  </si>
  <si>
    <t>fraction (12 %)</t>
  </si>
  <si>
    <t>rep_counter.dart:579</t>
  </si>
  <si>
    <t>Torso twisting</t>
  </si>
  <si>
    <t>Shoulder width compared with the start</t>
  </si>
  <si>
    <t>twist</t>
  </si>
  <si>
    <t>fraction (20 %)</t>
  </si>
  <si>
    <t>rep_counter.dart:585</t>
  </si>
  <si>
    <t>Slow down - control it</t>
  </si>
  <si>
    <t>Elbow angular speed above 1.3 x maxSpeed</t>
  </si>
  <si>
    <t>maxSpeed</t>
  </si>
  <si>
    <t>deg / s</t>
  </si>
  <si>
    <t>rep_counter.dart:778</t>
  </si>
  <si>
    <t>Elbow drift and swinging use 'Reject margin' = elbowDriftReject 30 and swingReject 20 (degrees PAST the warning limit).</t>
  </si>
  <si>
    <t>Biceps Curl - Facing the Camera</t>
  </si>
  <si>
    <t>Side view is the most accurate. Facing the camera the app switches to a second method.</t>
  </si>
  <si>
    <t>Item</t>
  </si>
  <si>
    <t>Front view detected above</t>
  </si>
  <si>
    <t>frontalRatio</t>
  </si>
  <si>
    <t>ratio</t>
  </si>
  <si>
    <t>Shoulder width / torso length. Above this = facing the camera (decided only between reps).</t>
  </si>
  <si>
    <t>rep_counter.dart:361</t>
  </si>
  <si>
    <t>Wrist-height angle</t>
  </si>
  <si>
    <t>(method)</t>
  </si>
  <si>
    <t>Wrist height above / below the elbow compared with your own hanging position, measured in shoulder widths (distance to the phone does not matter). The straighter of this and the 2D angle is used, so quarter reps cannot count.</t>
  </si>
  <si>
    <t>rep_counter.dart:495</t>
  </si>
  <si>
    <t>Elbow drifting forward (front)</t>
  </si>
  <si>
    <t>armShorten</t>
  </si>
  <si>
    <t>fraction (25 %)</t>
  </si>
  <si>
    <t>The upper arm looks this much shorter than at the start = elbow moving toward the camera. Warns only.</t>
  </si>
  <si>
    <t>rep_counter.dart:595</t>
  </si>
  <si>
    <t>How to read this workbook</t>
  </si>
  <si>
    <t>Blue numbers = values copied from the app's code (change them in the code, not here).</t>
  </si>
  <si>
    <t>Black numbers = formulas calculated from the blue numbers.</t>
  </si>
  <si>
    <t>Elbow angle: 180 = straight arm. Elbow flexion = 180 - elbow angle (the picture's 30 deg and 130 deg are flexion).</t>
  </si>
  <si>
    <t>Code files: lib/features/pose_coaching/domain/services/rep_counter.dart and lib/features/pose_coaching/data/datasources/exercise_local_data_source.dart</t>
  </si>
  <si>
    <t>Any limit key can be overridden per exercise in the 'limits' map, e.g. limits: {'maxSpeed': 400, 'elbowDrift': 20}.</t>
  </si>
  <si>
    <t>Pose estimation is 2D and approximate: it helps notice form problems but cannot guarantee injury prevention.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</si>
</sst>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b/>
      <sz val="14"/>
      <name val="Arial"/>
    </font>
    <font>
      <i/>
      <sz val="9"/>
      <color rgb="FF555555"/>
      <name val="Arial"/>
    </font>
    <font>
      <b/>
      <sz val="10"/>
      <color rgb="FFFFFFFF"/>
      <name val="Arial"/>
    </font>
    <font>
      <sz val="10"/>
      <name val="Arial"/>
    </font>
    <font>
      <sz val="10"/>
      <color rgb="FF0000FF"/>
      <name val="Arial"/>
    </font>
    <font>
      <b/>
      <sz val="11"/>
      <name val="Arial"/>
    </font>
    <font>
      <sz val="10"/>
      <color rgb="FF000000"/>
      <name val="Arial"/>
    </font>
  </fonts>
  <fills count="3">
    <fill>
      <patternFill patternType="none"/>
    </fill>
    <fill>
      <patternFill patternType="gray125"/>
    </fill>
    <fill>
      <patternFill patternType="solid">
        <fgColor rgb="FF1F6F5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2" borderId="1" xfId="0" applyFont="1" applyFill="1" applyBorder="1" applyAlignment="1">
      <alignment vertical="center" wrapText="1"/>
    </xf>
    <xf numFmtId="0" fontId="4" fillId="0" borderId="1" xfId="0" applyFont="1" applyBorder="1" applyAlignment="1">
      <alignment vertical="top" wrapText="1"/>
    </xf>
    <xf numFmtId="0" fontId="5" fillId="0" borderId="1" xfId="0" applyFont="1" applyBorder="1" applyAlignment="1">
      <alignment vertical="top" wrapText="1"/>
    </xf>
    <xf numFmtId="0" fontId="6" fillId="0" borderId="0" xfId="0" applyFont="1"/>
    <xf numFmtId="0" fontId="3" fillId="2" borderId="1" xfId="0" applyFont="1" applyFill="1" applyBorder="1"/>
    <xf numFmtId="0" fontId="7" fillId="0" borderId="1" xfId="0" applyFont="1" applyBorder="1" applyAlignment="1">
      <alignment vertical="top" wrapText="1"/>
    </xf>
    <xf numFmtId="1" fontId="5" fillId="0" borderId="1" xfId="0" applyNumberFormat="1" applyFont="1" applyBorder="1" applyAlignment="1">
      <alignment vertical="top" wrapText="1"/>
    </xf>
    <xf numFmtId="164" fontId="7" fillId="0" borderId="1" xfId="0" applyNumberFormat="1" applyFont="1" applyBorder="1" applyAlignment="1">
      <alignment vertical="top" wrapText="1"/>
    </xf>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8"/>
  <sheetViews>
    <sheetView tabSelected="1" workbookViewId="0">
      <pane ySplit="4" topLeftCell="A5" activePane="bottomLeft" state="frozen"/>
      <selection pane="bottomLeft"/>
    </sheetView>
  </sheetViews>
  <sheetFormatPr defaultRowHeight="14.4" x14ac:dyDescent="0.3"/>
  <cols>
    <col min="1" max="1" width="20" customWidth="1"/>
    <col min="2" max="3" width="14" customWidth="1"/>
    <col min="4" max="4" width="50" customWidth="1"/>
    <col min="5" max="5" width="34" customWidth="1"/>
  </cols>
  <sheetData>
    <row r="1" spans="1:5" ht="17.399999999999999" x14ac:dyDescent="0.3">
      <c r="A1" s="1" t="s">
        <v>0</v>
      </c>
    </row>
    <row r="2" spans="1:5" x14ac:dyDescent="0.3">
      <c r="A2" s="2" t="s">
        <v>1</v>
      </c>
    </row>
    <row r="4" spans="1:5" x14ac:dyDescent="0.3">
      <c r="A4" s="3" t="s">
        <v>2</v>
      </c>
      <c r="B4" s="3" t="s">
        <v>3</v>
      </c>
      <c r="C4" s="3" t="s">
        <v>4</v>
      </c>
      <c r="D4" s="3" t="s">
        <v>5</v>
      </c>
      <c r="E4" s="3" t="s">
        <v>6</v>
      </c>
    </row>
    <row r="5" spans="1:5" ht="26.4" x14ac:dyDescent="0.3">
      <c r="A5" s="4" t="s">
        <v>7</v>
      </c>
      <c r="B5" s="5">
        <v>12</v>
      </c>
      <c r="C5" s="5">
        <v>11</v>
      </c>
      <c r="D5" s="4" t="s">
        <v>8</v>
      </c>
      <c r="E5" s="4" t="s">
        <v>9</v>
      </c>
    </row>
    <row r="6" spans="1:5" ht="26.4" x14ac:dyDescent="0.3">
      <c r="A6" s="4" t="s">
        <v>10</v>
      </c>
      <c r="B6" s="5">
        <v>14</v>
      </c>
      <c r="C6" s="5">
        <v>13</v>
      </c>
      <c r="D6" s="4" t="s">
        <v>11</v>
      </c>
      <c r="E6" s="4" t="s">
        <v>9</v>
      </c>
    </row>
    <row r="7" spans="1:5" ht="26.4" x14ac:dyDescent="0.3">
      <c r="A7" s="4" t="s">
        <v>12</v>
      </c>
      <c r="B7" s="5">
        <v>16</v>
      </c>
      <c r="C7" s="5">
        <v>15</v>
      </c>
      <c r="D7" s="4" t="s">
        <v>13</v>
      </c>
      <c r="E7" s="4" t="s">
        <v>14</v>
      </c>
    </row>
    <row r="8" spans="1:5" x14ac:dyDescent="0.3">
      <c r="A8" s="4" t="s">
        <v>15</v>
      </c>
      <c r="B8" s="5">
        <v>24</v>
      </c>
      <c r="C8" s="5">
        <v>23</v>
      </c>
      <c r="D8" s="4" t="s">
        <v>16</v>
      </c>
      <c r="E8" s="4" t="s">
        <v>17</v>
      </c>
    </row>
    <row r="9" spans="1:5" ht="26.4" x14ac:dyDescent="0.3">
      <c r="A9" s="4" t="s">
        <v>18</v>
      </c>
      <c r="B9" s="5">
        <v>11</v>
      </c>
      <c r="C9" s="5">
        <v>12</v>
      </c>
      <c r="D9" s="4" t="s">
        <v>19</v>
      </c>
      <c r="E9" s="4" t="s">
        <v>20</v>
      </c>
    </row>
    <row r="12" spans="1:5" x14ac:dyDescent="0.3">
      <c r="A12" s="6" t="s">
        <v>21</v>
      </c>
    </row>
    <row r="13" spans="1:5" x14ac:dyDescent="0.3">
      <c r="A13" s="7" t="s">
        <v>22</v>
      </c>
      <c r="B13" s="7" t="s">
        <v>23</v>
      </c>
    </row>
    <row r="14" spans="1:5" x14ac:dyDescent="0.3">
      <c r="A14" s="4">
        <v>0</v>
      </c>
      <c r="B14" s="4" t="s">
        <v>24</v>
      </c>
    </row>
    <row r="15" spans="1:5" x14ac:dyDescent="0.3">
      <c r="A15" s="4">
        <v>1</v>
      </c>
      <c r="B15" s="4" t="s">
        <v>25</v>
      </c>
    </row>
    <row r="16" spans="1:5" ht="52.8" x14ac:dyDescent="0.3">
      <c r="A16" s="4">
        <v>2</v>
      </c>
      <c r="B16" s="4" t="s">
        <v>26</v>
      </c>
    </row>
    <row r="17" spans="1:2" ht="26.4" x14ac:dyDescent="0.3">
      <c r="A17" s="4">
        <v>3</v>
      </c>
      <c r="B17" s="4" t="s">
        <v>27</v>
      </c>
    </row>
    <row r="18" spans="1:2" ht="26.4" x14ac:dyDescent="0.3">
      <c r="A18" s="4">
        <v>4</v>
      </c>
      <c r="B18" s="4" t="s">
        <v>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8"/>
  <sheetViews>
    <sheetView workbookViewId="0">
      <pane ySplit="4" topLeftCell="A5" activePane="bottomLeft" state="frozen"/>
      <selection pane="bottomLeft"/>
    </sheetView>
  </sheetViews>
  <sheetFormatPr defaultRowHeight="14.4" x14ac:dyDescent="0.3"/>
  <cols>
    <col min="1" max="1" width="30" customWidth="1"/>
    <col min="2" max="2" width="18" customWidth="1"/>
    <col min="3" max="4" width="10" customWidth="1"/>
    <col min="5" max="5" width="14" customWidth="1"/>
    <col min="6" max="6" width="58" customWidth="1"/>
    <col min="7" max="7" width="26" customWidth="1"/>
  </cols>
  <sheetData>
    <row r="1" spans="1:7" ht="17.399999999999999" x14ac:dyDescent="0.3">
      <c r="A1" s="1" t="s">
        <v>29</v>
      </c>
    </row>
    <row r="2" spans="1:7" x14ac:dyDescent="0.3">
      <c r="A2" s="2" t="s">
        <v>30</v>
      </c>
    </row>
    <row r="4" spans="1:7" ht="26.4" x14ac:dyDescent="0.3">
      <c r="A4" s="3" t="s">
        <v>31</v>
      </c>
      <c r="B4" s="3" t="s">
        <v>32</v>
      </c>
      <c r="C4" s="3" t="s">
        <v>33</v>
      </c>
      <c r="D4" s="3" t="s">
        <v>34</v>
      </c>
      <c r="E4" s="3" t="s">
        <v>35</v>
      </c>
      <c r="F4" s="3" t="s">
        <v>23</v>
      </c>
      <c r="G4" s="3" t="s">
        <v>6</v>
      </c>
    </row>
    <row r="5" spans="1:7" ht="26.4" x14ac:dyDescent="0.3">
      <c r="A5" s="4" t="s">
        <v>36</v>
      </c>
      <c r="B5" s="4" t="s">
        <v>37</v>
      </c>
      <c r="C5" s="5">
        <v>148</v>
      </c>
      <c r="D5" s="4" t="s">
        <v>38</v>
      </c>
      <c r="E5" s="8">
        <f>180-C5</f>
        <v>32</v>
      </c>
      <c r="F5" s="4" t="s">
        <v>39</v>
      </c>
      <c r="G5" s="4" t="s">
        <v>40</v>
      </c>
    </row>
    <row r="6" spans="1:7" ht="26.4" x14ac:dyDescent="0.3">
      <c r="A6" s="4" t="s">
        <v>41</v>
      </c>
      <c r="B6" s="4" t="s">
        <v>42</v>
      </c>
      <c r="C6" s="5">
        <v>64</v>
      </c>
      <c r="D6" s="4" t="s">
        <v>38</v>
      </c>
      <c r="E6" s="8">
        <f>180-C6</f>
        <v>116</v>
      </c>
      <c r="F6" s="4" t="s">
        <v>43</v>
      </c>
      <c r="G6" s="4" t="s">
        <v>40</v>
      </c>
    </row>
    <row r="7" spans="1:7" ht="26.4" x14ac:dyDescent="0.3">
      <c r="A7" s="4" t="s">
        <v>44</v>
      </c>
      <c r="B7" s="4" t="s">
        <v>45</v>
      </c>
      <c r="C7" s="9">
        <v>15</v>
      </c>
      <c r="D7" s="4" t="s">
        <v>46</v>
      </c>
      <c r="E7" s="4"/>
      <c r="F7" s="4" t="s">
        <v>47</v>
      </c>
      <c r="G7" s="4" t="s">
        <v>48</v>
      </c>
    </row>
    <row r="8" spans="1:7" x14ac:dyDescent="0.3">
      <c r="A8" s="4" t="s">
        <v>49</v>
      </c>
      <c r="B8" s="4" t="s">
        <v>50</v>
      </c>
      <c r="C8" s="10">
        <f>C5-C7/100*(C5-C6)</f>
        <v>135.4</v>
      </c>
      <c r="D8" s="4" t="s">
        <v>38</v>
      </c>
      <c r="E8" s="10">
        <f>180-C8</f>
        <v>44.599999999999994</v>
      </c>
      <c r="F8" s="4" t="s">
        <v>51</v>
      </c>
      <c r="G8" s="4" t="s">
        <v>52</v>
      </c>
    </row>
    <row r="9" spans="1:7" x14ac:dyDescent="0.3">
      <c r="A9" s="4" t="s">
        <v>53</v>
      </c>
      <c r="B9" s="4" t="s">
        <v>54</v>
      </c>
      <c r="C9" s="5">
        <v>0.1</v>
      </c>
      <c r="D9" s="4" t="s">
        <v>55</v>
      </c>
      <c r="E9" s="4"/>
      <c r="F9" s="4" t="s">
        <v>56</v>
      </c>
      <c r="G9" s="4" t="s">
        <v>57</v>
      </c>
    </row>
    <row r="10" spans="1:7" ht="26.4" x14ac:dyDescent="0.3">
      <c r="A10" s="4" t="s">
        <v>58</v>
      </c>
      <c r="B10" s="4" t="s">
        <v>59</v>
      </c>
      <c r="C10" s="5">
        <v>30</v>
      </c>
      <c r="D10" s="4" t="s">
        <v>46</v>
      </c>
      <c r="E10" s="4"/>
      <c r="F10" s="4" t="s">
        <v>60</v>
      </c>
      <c r="G10" s="4" t="s">
        <v>61</v>
      </c>
    </row>
    <row r="11" spans="1:7" x14ac:dyDescent="0.3">
      <c r="A11" s="4" t="s">
        <v>62</v>
      </c>
      <c r="B11" s="4" t="s">
        <v>50</v>
      </c>
      <c r="C11" s="10">
        <f>C5-C10/100*(C5-C6)</f>
        <v>122.8</v>
      </c>
      <c r="D11" s="4" t="s">
        <v>38</v>
      </c>
      <c r="E11" s="10">
        <f>180-C11</f>
        <v>57.2</v>
      </c>
      <c r="F11" s="4" t="s">
        <v>63</v>
      </c>
      <c r="G11" s="4" t="s">
        <v>52</v>
      </c>
    </row>
    <row r="12" spans="1:7" x14ac:dyDescent="0.3">
      <c r="A12" s="4" t="s">
        <v>64</v>
      </c>
      <c r="B12" s="4" t="s">
        <v>65</v>
      </c>
      <c r="C12" s="5">
        <v>0.6</v>
      </c>
      <c r="D12" s="4" t="s">
        <v>55</v>
      </c>
      <c r="E12" s="4"/>
      <c r="F12" s="4" t="s">
        <v>66</v>
      </c>
      <c r="G12" s="4" t="s">
        <v>67</v>
      </c>
    </row>
    <row r="13" spans="1:7" x14ac:dyDescent="0.3">
      <c r="A13" s="4" t="s">
        <v>68</v>
      </c>
      <c r="B13" s="4" t="s">
        <v>69</v>
      </c>
      <c r="C13" s="5">
        <v>20</v>
      </c>
      <c r="D13" s="4" t="s">
        <v>55</v>
      </c>
      <c r="E13" s="4"/>
      <c r="F13" s="4" t="s">
        <v>70</v>
      </c>
      <c r="G13" s="4" t="s">
        <v>71</v>
      </c>
    </row>
    <row r="14" spans="1:7" ht="26.4" x14ac:dyDescent="0.3">
      <c r="A14" s="4" t="s">
        <v>72</v>
      </c>
      <c r="B14" s="4" t="s">
        <v>73</v>
      </c>
      <c r="C14" s="5">
        <v>45</v>
      </c>
      <c r="D14" s="4" t="s">
        <v>74</v>
      </c>
      <c r="E14" s="4"/>
      <c r="F14" s="4" t="s">
        <v>75</v>
      </c>
      <c r="G14" s="4" t="s">
        <v>76</v>
      </c>
    </row>
    <row r="15" spans="1:7" x14ac:dyDescent="0.3">
      <c r="A15" s="4" t="s">
        <v>77</v>
      </c>
      <c r="B15" s="4" t="s">
        <v>78</v>
      </c>
      <c r="C15" s="5">
        <v>5</v>
      </c>
      <c r="D15" s="4" t="s">
        <v>55</v>
      </c>
      <c r="E15" s="4"/>
      <c r="F15" s="4" t="s">
        <v>79</v>
      </c>
      <c r="G15" s="4" t="s">
        <v>80</v>
      </c>
    </row>
    <row r="16" spans="1:7" x14ac:dyDescent="0.3">
      <c r="A16" s="4" t="s">
        <v>81</v>
      </c>
      <c r="B16" s="4" t="s">
        <v>82</v>
      </c>
      <c r="C16" s="5">
        <v>0.4</v>
      </c>
      <c r="D16" s="4" t="s">
        <v>55</v>
      </c>
      <c r="E16" s="4"/>
      <c r="F16" s="4" t="s">
        <v>83</v>
      </c>
      <c r="G16" s="4" t="s">
        <v>84</v>
      </c>
    </row>
    <row r="17" spans="1:7" ht="26.4" x14ac:dyDescent="0.3">
      <c r="A17" s="4" t="s">
        <v>85</v>
      </c>
      <c r="B17" s="4" t="s">
        <v>86</v>
      </c>
      <c r="C17" s="5">
        <v>70</v>
      </c>
      <c r="D17" s="4" t="s">
        <v>87</v>
      </c>
      <c r="E17" s="4"/>
      <c r="F17" s="4" t="s">
        <v>88</v>
      </c>
      <c r="G17" s="4" t="s">
        <v>89</v>
      </c>
    </row>
    <row r="18" spans="1:7" ht="26.4" x14ac:dyDescent="0.3">
      <c r="A18" s="4" t="s">
        <v>90</v>
      </c>
      <c r="B18" s="4" t="s">
        <v>91</v>
      </c>
      <c r="C18" s="5">
        <v>0.7</v>
      </c>
      <c r="D18" s="4" t="s">
        <v>92</v>
      </c>
      <c r="E18" s="4"/>
      <c r="F18" s="4" t="s">
        <v>93</v>
      </c>
      <c r="G18" s="4" t="s">
        <v>94</v>
      </c>
    </row>
  </sheetData>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1"/>
  <sheetViews>
    <sheetView workbookViewId="0">
      <pane ySplit="4" topLeftCell="A5" activePane="bottomLeft" state="frozen"/>
      <selection pane="bottomLeft"/>
    </sheetView>
  </sheetViews>
  <sheetFormatPr defaultRowHeight="14.4" x14ac:dyDescent="0.3"/>
  <cols>
    <col min="1" max="1" width="26" customWidth="1"/>
    <col min="2" max="2" width="40" customWidth="1"/>
    <col min="3" max="3" width="16" customWidth="1"/>
    <col min="4" max="4" width="12" customWidth="1"/>
    <col min="5" max="5" width="13" customWidth="1"/>
    <col min="6" max="6" width="15" customWidth="1"/>
    <col min="7" max="7" width="14" customWidth="1"/>
    <col min="8" max="8" width="18" customWidth="1"/>
  </cols>
  <sheetData>
    <row r="1" spans="1:8" ht="17.399999999999999" x14ac:dyDescent="0.3">
      <c r="A1" s="1" t="s">
        <v>95</v>
      </c>
    </row>
    <row r="2" spans="1:8" x14ac:dyDescent="0.3">
      <c r="A2" s="2" t="s">
        <v>96</v>
      </c>
    </row>
    <row r="4" spans="1:8" ht="26.4" x14ac:dyDescent="0.3">
      <c r="A4" s="3" t="s">
        <v>97</v>
      </c>
      <c r="B4" s="3" t="s">
        <v>98</v>
      </c>
      <c r="C4" s="3" t="s">
        <v>99</v>
      </c>
      <c r="D4" s="3" t="s">
        <v>100</v>
      </c>
      <c r="E4" s="3" t="s">
        <v>101</v>
      </c>
      <c r="F4" s="3" t="s">
        <v>102</v>
      </c>
      <c r="G4" s="3" t="s">
        <v>34</v>
      </c>
      <c r="H4" s="3" t="s">
        <v>6</v>
      </c>
    </row>
    <row r="5" spans="1:8" ht="26.4" x14ac:dyDescent="0.3">
      <c r="A5" s="4" t="s">
        <v>103</v>
      </c>
      <c r="B5" s="4" t="s">
        <v>104</v>
      </c>
      <c r="C5" s="4" t="s">
        <v>105</v>
      </c>
      <c r="D5" s="5">
        <v>25</v>
      </c>
      <c r="E5" s="5">
        <v>30</v>
      </c>
      <c r="F5" s="8">
        <f>D5+E5</f>
        <v>55</v>
      </c>
      <c r="G5" s="4" t="s">
        <v>38</v>
      </c>
      <c r="H5" s="4" t="s">
        <v>106</v>
      </c>
    </row>
    <row r="6" spans="1:8" ht="26.4" x14ac:dyDescent="0.3">
      <c r="A6" s="4" t="s">
        <v>107</v>
      </c>
      <c r="B6" s="4" t="s">
        <v>108</v>
      </c>
      <c r="C6" s="4" t="s">
        <v>109</v>
      </c>
      <c r="D6" s="5">
        <v>12</v>
      </c>
      <c r="E6" s="5">
        <v>20</v>
      </c>
      <c r="F6" s="8">
        <f>D6+E6</f>
        <v>32</v>
      </c>
      <c r="G6" s="4" t="s">
        <v>38</v>
      </c>
      <c r="H6" s="4" t="s">
        <v>110</v>
      </c>
    </row>
    <row r="7" spans="1:8" ht="26.4" x14ac:dyDescent="0.3">
      <c r="A7" s="4" t="s">
        <v>111</v>
      </c>
      <c r="B7" s="4" t="s">
        <v>112</v>
      </c>
      <c r="C7" s="4" t="s">
        <v>113</v>
      </c>
      <c r="D7" s="5">
        <v>0.12</v>
      </c>
      <c r="E7" s="4"/>
      <c r="F7" s="4" t="s">
        <v>114</v>
      </c>
      <c r="G7" s="4" t="s">
        <v>115</v>
      </c>
      <c r="H7" s="4" t="s">
        <v>116</v>
      </c>
    </row>
    <row r="8" spans="1:8" ht="26.4" x14ac:dyDescent="0.3">
      <c r="A8" s="4" t="s">
        <v>117</v>
      </c>
      <c r="B8" s="4" t="s">
        <v>118</v>
      </c>
      <c r="C8" s="4" t="s">
        <v>119</v>
      </c>
      <c r="D8" s="5">
        <v>0.2</v>
      </c>
      <c r="E8" s="4"/>
      <c r="F8" s="4" t="s">
        <v>114</v>
      </c>
      <c r="G8" s="4" t="s">
        <v>120</v>
      </c>
      <c r="H8" s="4" t="s">
        <v>121</v>
      </c>
    </row>
    <row r="9" spans="1:8" ht="26.4" x14ac:dyDescent="0.3">
      <c r="A9" s="4" t="s">
        <v>122</v>
      </c>
      <c r="B9" s="4" t="s">
        <v>123</v>
      </c>
      <c r="C9" s="4" t="s">
        <v>124</v>
      </c>
      <c r="D9" s="8">
        <f>1.3*400</f>
        <v>520</v>
      </c>
      <c r="E9" s="4"/>
      <c r="F9" s="4" t="s">
        <v>114</v>
      </c>
      <c r="G9" s="4" t="s">
        <v>125</v>
      </c>
      <c r="H9" s="4" t="s">
        <v>126</v>
      </c>
    </row>
    <row r="11" spans="1:8" x14ac:dyDescent="0.3">
      <c r="A11" s="2" t="s">
        <v>127</v>
      </c>
    </row>
  </sheetData>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
  <sheetViews>
    <sheetView workbookViewId="0">
      <pane ySplit="4" topLeftCell="A5" activePane="bottomLeft" state="frozen"/>
      <selection pane="bottomLeft"/>
    </sheetView>
  </sheetViews>
  <sheetFormatPr defaultRowHeight="14.4" x14ac:dyDescent="0.3"/>
  <cols>
    <col min="1" max="1" width="28" customWidth="1"/>
    <col min="2" max="2" width="16" customWidth="1"/>
    <col min="3" max="3" width="10" customWidth="1"/>
    <col min="4" max="4" width="14" customWidth="1"/>
    <col min="5" max="5" width="64" customWidth="1"/>
    <col min="6" max="6" width="18" customWidth="1"/>
  </cols>
  <sheetData>
    <row r="1" spans="1:6" ht="17.399999999999999" x14ac:dyDescent="0.3">
      <c r="A1" s="1" t="s">
        <v>128</v>
      </c>
    </row>
    <row r="2" spans="1:6" x14ac:dyDescent="0.3">
      <c r="A2" s="2" t="s">
        <v>129</v>
      </c>
    </row>
    <row r="4" spans="1:6" x14ac:dyDescent="0.3">
      <c r="A4" s="3" t="s">
        <v>130</v>
      </c>
      <c r="B4" s="3" t="s">
        <v>99</v>
      </c>
      <c r="C4" s="3" t="s">
        <v>33</v>
      </c>
      <c r="D4" s="3" t="s">
        <v>34</v>
      </c>
      <c r="E4" s="3" t="s">
        <v>23</v>
      </c>
      <c r="F4" s="3" t="s">
        <v>6</v>
      </c>
    </row>
    <row r="5" spans="1:6" ht="26.4" x14ac:dyDescent="0.3">
      <c r="A5" s="4" t="s">
        <v>131</v>
      </c>
      <c r="B5" s="4" t="s">
        <v>132</v>
      </c>
      <c r="C5" s="5">
        <v>0.5</v>
      </c>
      <c r="D5" s="4" t="s">
        <v>133</v>
      </c>
      <c r="E5" s="4" t="s">
        <v>134</v>
      </c>
      <c r="F5" s="4" t="s">
        <v>135</v>
      </c>
    </row>
    <row r="6" spans="1:6" ht="52.8" x14ac:dyDescent="0.3">
      <c r="A6" s="4" t="s">
        <v>136</v>
      </c>
      <c r="B6" s="4" t="s">
        <v>137</v>
      </c>
      <c r="C6" s="4"/>
      <c r="D6" s="4" t="s">
        <v>52</v>
      </c>
      <c r="E6" s="4" t="s">
        <v>138</v>
      </c>
      <c r="F6" s="4" t="s">
        <v>139</v>
      </c>
    </row>
    <row r="7" spans="1:6" ht="26.4" x14ac:dyDescent="0.3">
      <c r="A7" s="4" t="s">
        <v>140</v>
      </c>
      <c r="B7" s="4" t="s">
        <v>141</v>
      </c>
      <c r="C7" s="5">
        <v>0.25</v>
      </c>
      <c r="D7" s="4" t="s">
        <v>142</v>
      </c>
      <c r="E7" s="4" t="s">
        <v>143</v>
      </c>
      <c r="F7" s="4" t="s">
        <v>144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8"/>
  <sheetViews>
    <sheetView workbookViewId="0"/>
  </sheetViews>
  <sheetFormatPr defaultRowHeight="14.4" x14ac:dyDescent="0.3"/>
  <cols>
    <col min="1" max="1" width="120" customWidth="1"/>
  </cols>
  <sheetData>
    <row r="1" spans="1:1" ht="17.399999999999999" x14ac:dyDescent="0.3">
      <c r="A1" s="1" t="s">
        <v>145</v>
      </c>
    </row>
    <row r="3" spans="1:1" x14ac:dyDescent="0.3">
      <c r="A3" s="11" t="s">
        <v>146</v>
      </c>
    </row>
    <row r="4" spans="1:1" x14ac:dyDescent="0.3">
      <c r="A4" s="11" t="s">
        <v>147</v>
      </c>
    </row>
    <row r="5" spans="1:1" x14ac:dyDescent="0.3">
      <c r="A5" s="11" t="s">
        <v>148</v>
      </c>
    </row>
    <row r="6" spans="1:1" x14ac:dyDescent="0.3">
      <c r="A6" s="11" t="s">
        <v>149</v>
      </c>
    </row>
    <row r="7" spans="1:1" x14ac:dyDescent="0.3">
      <c r="A7" s="11" t="s">
        <v>150</v>
      </c>
    </row>
    <row r="8" spans="1:1" x14ac:dyDescent="0.3">
      <c r="A8" s="11" t="s">
        <v>151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Landmarks</vt:lpstr>
      <vt:lpstr>Rep Counting</vt:lpstr>
      <vt:lpstr>Form Checks</vt:lpstr>
      <vt:lpstr>Front View</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مازن حسام الدين ابراهيم السيد محمد مصطفى</cp:lastModifiedBy>
  <dcterms:created xsi:type="dcterms:W3CDTF">2026-10-28T14:44:05Z</dcterms:created>
  <dcterms:modified xsi:type="dcterms:W3CDTF">2026-10-28T14:47:39Z</dcterms:modified>
</cp:coreProperties>
</file>